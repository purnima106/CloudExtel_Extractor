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nimaNahata\Desktop\Projects\CloudExtel_Extractor\"/>
    </mc:Choice>
  </mc:AlternateContent>
  <xr:revisionPtr revIDLastSave="0" documentId="13_ncr:1_{316FF7D3-CF7D-4D20-99AE-2EB08099FD46}" xr6:coauthVersionLast="47" xr6:coauthVersionMax="47" xr10:uidLastSave="{00000000-0000-0000-0000-000000000000}"/>
  <bookViews>
    <workbookView xWindow="-110" yWindow="-110" windowWidth="19420" windowHeight="10300" xr2:uid="{D116A946-E570-4E50-8FF3-39ED46BCB2DC}"/>
  </bookViews>
  <sheets>
    <sheet name="Sheet1" sheetId="1" r:id="rId1"/>
  </sheets>
  <definedNames>
    <definedName name="_xlnm._FilterDatabase" localSheetId="0" hidden="1">Sheet1!$A$3:$G$157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F1" i="1"/>
  <c r="D1" i="1"/>
  <c r="B1" i="1"/>
</calcChain>
</file>

<file path=xl/sharedStrings.xml><?xml version="1.0" encoding="utf-8"?>
<sst xmlns="http://schemas.openxmlformats.org/spreadsheetml/2006/main" count="163" uniqueCount="12">
  <si>
    <t>IP1 / Co-built</t>
  </si>
  <si>
    <t>DN Rec. (Mtr)</t>
  </si>
  <si>
    <t>Projected Budget RI amount for DN</t>
  </si>
  <si>
    <t>Actual Total Non Refundable Amount(RI+Ground+Admin+Supervision)</t>
  </si>
  <si>
    <t>IP-1</t>
  </si>
  <si>
    <t>Co-Built</t>
  </si>
  <si>
    <t>CO-Built</t>
  </si>
  <si>
    <t>Cummulative Length</t>
  </si>
  <si>
    <t>Cummulative Budget</t>
  </si>
  <si>
    <t xml:space="preserve">X - 0 to 60 KM </t>
  </si>
  <si>
    <t>Y - 0 TO 60 cr</t>
  </si>
  <si>
    <t>Actual Cummulative Non Refundable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</si>
</sst>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7570-9012-4AB1-AA25-D213622328E8}">
  <dimension ref="A1:G166"/>
  <sheetViews>
    <sheetView tabSelected="1" workbookViewId="0">
      <selection activeCell="G1" sqref="G1:G1048576"/>
    </sheetView>
  </sheetViews>
  <sheetFormatPr defaultRowHeight="14.5" x14ac:dyDescent="0.35"/>
  <cols>
    <col min="2" max="2" width="15.6328125" customWidth="1"/>
    <col min="3" max="3" width="12.08984375" customWidth="1"/>
    <col min="4" max="5" width="17.90625" style="2" customWidth="1"/>
    <col min="6" max="6" width="17.1796875" customWidth="1"/>
    <col min="7" max="7" width="15.90625" customWidth="1"/>
  </cols>
  <sheetData>
    <row r="1" spans="1:7" x14ac:dyDescent="0.35">
      <c r="B1">
        <f>SUM(B4:B157)</f>
        <v>53193</v>
      </c>
      <c r="D1" s="2">
        <f>SUM(D4:D157)</f>
        <v>563923946.26346672</v>
      </c>
      <c r="F1" s="2">
        <f>SUM(F4:F157)</f>
        <v>382258322.05000001</v>
      </c>
    </row>
    <row r="2" spans="1:7" x14ac:dyDescent="0.35">
      <c r="C2" t="s">
        <v>9</v>
      </c>
      <c r="E2" s="2" t="s">
        <v>10</v>
      </c>
      <c r="F2" s="2"/>
    </row>
    <row r="3" spans="1:7" ht="24" customHeight="1" x14ac:dyDescent="0.35">
      <c r="A3" t="s">
        <v>0</v>
      </c>
      <c r="B3" t="s">
        <v>1</v>
      </c>
      <c r="C3" t="s">
        <v>7</v>
      </c>
      <c r="D3" s="2" t="s">
        <v>2</v>
      </c>
      <c r="E3" s="2" t="s">
        <v>8</v>
      </c>
      <c r="F3" s="1" t="s">
        <v>3</v>
      </c>
      <c r="G3" s="1" t="s">
        <v>11</v>
      </c>
    </row>
    <row r="4" spans="1:7" x14ac:dyDescent="0.35">
      <c r="A4" t="s">
        <v>4</v>
      </c>
      <c r="B4">
        <v>4766</v>
      </c>
      <c r="C4">
        <f>B4</f>
        <v>4766</v>
      </c>
      <c r="D4" s="2">
        <v>91507200</v>
      </c>
      <c r="E4" s="2">
        <v>91507200</v>
      </c>
      <c r="F4">
        <v>200172</v>
      </c>
      <c r="G4" s="2">
        <v>200172</v>
      </c>
    </row>
    <row r="5" spans="1:7" x14ac:dyDescent="0.35">
      <c r="A5" t="s">
        <v>4</v>
      </c>
      <c r="B5">
        <v>600</v>
      </c>
      <c r="C5">
        <f>B5+C4</f>
        <v>5366</v>
      </c>
      <c r="D5" s="2">
        <v>1799999.9999999998</v>
      </c>
      <c r="E5" s="2">
        <v>93307200</v>
      </c>
      <c r="F5">
        <v>60320</v>
      </c>
      <c r="G5" s="2">
        <v>260492</v>
      </c>
    </row>
    <row r="6" spans="1:7" x14ac:dyDescent="0.35">
      <c r="A6" t="s">
        <v>5</v>
      </c>
      <c r="B6">
        <v>155</v>
      </c>
      <c r="C6">
        <f t="shared" ref="C6:C69" si="0">B6+C5</f>
        <v>5521</v>
      </c>
      <c r="D6" s="2">
        <v>1304015</v>
      </c>
      <c r="E6" s="2">
        <v>94611215</v>
      </c>
      <c r="F6">
        <v>1614427</v>
      </c>
      <c r="G6" s="2">
        <v>1874919</v>
      </c>
    </row>
    <row r="7" spans="1:7" x14ac:dyDescent="0.35">
      <c r="A7" t="s">
        <v>5</v>
      </c>
      <c r="B7">
        <v>27</v>
      </c>
      <c r="C7">
        <f t="shared" si="0"/>
        <v>5548</v>
      </c>
      <c r="D7" s="2">
        <v>336663</v>
      </c>
      <c r="E7" s="2">
        <v>94947878</v>
      </c>
      <c r="F7">
        <v>275130</v>
      </c>
      <c r="G7" s="2">
        <v>2150049</v>
      </c>
    </row>
    <row r="8" spans="1:7" x14ac:dyDescent="0.35">
      <c r="A8" t="s">
        <v>5</v>
      </c>
      <c r="B8">
        <v>8</v>
      </c>
      <c r="C8">
        <f t="shared" si="0"/>
        <v>5556</v>
      </c>
      <c r="D8" s="2">
        <v>99752</v>
      </c>
      <c r="E8" s="2">
        <v>95047630</v>
      </c>
      <c r="F8">
        <v>448464</v>
      </c>
      <c r="G8" s="2">
        <v>2598513</v>
      </c>
    </row>
    <row r="9" spans="1:7" x14ac:dyDescent="0.35">
      <c r="A9" t="s">
        <v>4</v>
      </c>
      <c r="B9">
        <v>975</v>
      </c>
      <c r="C9">
        <f t="shared" si="0"/>
        <v>6531</v>
      </c>
      <c r="D9" s="2">
        <v>2925000</v>
      </c>
      <c r="E9" s="2">
        <v>97972630</v>
      </c>
      <c r="F9">
        <v>912600</v>
      </c>
      <c r="G9" s="2">
        <v>3511113</v>
      </c>
    </row>
    <row r="10" spans="1:7" x14ac:dyDescent="0.35">
      <c r="A10" t="s">
        <v>4</v>
      </c>
      <c r="B10">
        <v>820</v>
      </c>
      <c r="C10">
        <f t="shared" si="0"/>
        <v>7351</v>
      </c>
      <c r="D10" s="2">
        <v>2460000</v>
      </c>
      <c r="E10" s="2">
        <v>100432630</v>
      </c>
      <c r="F10">
        <v>881600</v>
      </c>
      <c r="G10" s="2">
        <v>4392713</v>
      </c>
    </row>
    <row r="11" spans="1:7" x14ac:dyDescent="0.35">
      <c r="A11" t="s">
        <v>4</v>
      </c>
      <c r="B11">
        <v>825</v>
      </c>
      <c r="C11">
        <f t="shared" si="0"/>
        <v>8176</v>
      </c>
      <c r="D11" s="2">
        <v>2475000</v>
      </c>
      <c r="E11" s="2">
        <v>102907630</v>
      </c>
      <c r="F11">
        <v>882600</v>
      </c>
      <c r="G11" s="2">
        <v>5275313</v>
      </c>
    </row>
    <row r="12" spans="1:7" x14ac:dyDescent="0.35">
      <c r="A12" t="s">
        <v>4</v>
      </c>
      <c r="B12">
        <v>52</v>
      </c>
      <c r="C12">
        <f t="shared" si="0"/>
        <v>8228</v>
      </c>
      <c r="D12" s="2">
        <v>437476</v>
      </c>
      <c r="E12" s="2">
        <v>103345106</v>
      </c>
      <c r="F12">
        <v>651332</v>
      </c>
      <c r="G12" s="2">
        <v>5926645</v>
      </c>
    </row>
    <row r="13" spans="1:7" x14ac:dyDescent="0.35">
      <c r="A13" t="s">
        <v>6</v>
      </c>
      <c r="B13">
        <v>75</v>
      </c>
      <c r="C13">
        <f t="shared" si="0"/>
        <v>8303</v>
      </c>
      <c r="D13" s="2">
        <v>1120200</v>
      </c>
      <c r="E13" s="2">
        <v>104465306</v>
      </c>
      <c r="F13">
        <v>853575</v>
      </c>
      <c r="G13" s="2">
        <v>6780220</v>
      </c>
    </row>
    <row r="14" spans="1:7" x14ac:dyDescent="0.35">
      <c r="A14" t="s">
        <v>6</v>
      </c>
      <c r="B14">
        <v>156</v>
      </c>
      <c r="C14">
        <f t="shared" si="0"/>
        <v>8459</v>
      </c>
      <c r="D14" s="2">
        <v>2330016.0000000005</v>
      </c>
      <c r="E14" s="2">
        <v>106795322</v>
      </c>
      <c r="F14">
        <v>1047384</v>
      </c>
      <c r="G14" s="2">
        <v>7827604</v>
      </c>
    </row>
    <row r="15" spans="1:7" x14ac:dyDescent="0.35">
      <c r="A15" t="s">
        <v>6</v>
      </c>
      <c r="B15">
        <v>136</v>
      </c>
      <c r="C15">
        <f t="shared" si="0"/>
        <v>8595</v>
      </c>
      <c r="D15" s="2">
        <v>2031296.0000000002</v>
      </c>
      <c r="E15" s="2">
        <v>108826618</v>
      </c>
      <c r="F15">
        <v>913104</v>
      </c>
      <c r="G15" s="2">
        <v>8740708</v>
      </c>
    </row>
    <row r="16" spans="1:7" x14ac:dyDescent="0.35">
      <c r="A16" t="s">
        <v>5</v>
      </c>
      <c r="B16">
        <v>2128</v>
      </c>
      <c r="C16">
        <f t="shared" si="0"/>
        <v>10723</v>
      </c>
      <c r="D16" s="2">
        <v>24684800</v>
      </c>
      <c r="E16" s="2">
        <v>133511418</v>
      </c>
      <c r="F16">
        <v>28372583.717</v>
      </c>
      <c r="G16" s="2">
        <v>37113291.717</v>
      </c>
    </row>
    <row r="17" spans="1:7" x14ac:dyDescent="0.35">
      <c r="A17" t="s">
        <v>5</v>
      </c>
      <c r="B17">
        <v>80</v>
      </c>
      <c r="C17">
        <f t="shared" si="0"/>
        <v>10803</v>
      </c>
      <c r="D17" s="2">
        <v>928000</v>
      </c>
      <c r="E17" s="2">
        <v>134439418</v>
      </c>
      <c r="F17">
        <v>741701.60000000009</v>
      </c>
      <c r="G17" s="2">
        <v>37854993.317000002</v>
      </c>
    </row>
    <row r="18" spans="1:7" x14ac:dyDescent="0.35">
      <c r="A18" t="s">
        <v>6</v>
      </c>
      <c r="B18">
        <v>136</v>
      </c>
      <c r="C18">
        <f t="shared" si="0"/>
        <v>10939</v>
      </c>
      <c r="D18" s="2">
        <v>1018232</v>
      </c>
      <c r="E18" s="2">
        <v>135457650</v>
      </c>
      <c r="F18">
        <v>1068404</v>
      </c>
      <c r="G18" s="2">
        <v>38923397.317000002</v>
      </c>
    </row>
    <row r="19" spans="1:7" x14ac:dyDescent="0.35">
      <c r="A19" t="s">
        <v>6</v>
      </c>
      <c r="B19">
        <v>91</v>
      </c>
      <c r="C19">
        <f t="shared" si="0"/>
        <v>11030</v>
      </c>
      <c r="D19" s="2">
        <v>1359176</v>
      </c>
      <c r="E19" s="2">
        <v>136816826</v>
      </c>
      <c r="F19">
        <v>1035671</v>
      </c>
      <c r="G19" s="2">
        <v>39959068.317000002</v>
      </c>
    </row>
    <row r="20" spans="1:7" x14ac:dyDescent="0.35">
      <c r="A20" t="s">
        <v>4</v>
      </c>
      <c r="B20">
        <v>60</v>
      </c>
      <c r="C20">
        <f t="shared" si="0"/>
        <v>11090</v>
      </c>
      <c r="D20" s="2">
        <v>504780</v>
      </c>
      <c r="E20" s="2">
        <v>137321606</v>
      </c>
      <c r="F20">
        <v>896340</v>
      </c>
      <c r="G20" s="2">
        <v>40855408.317000002</v>
      </c>
    </row>
    <row r="21" spans="1:7" x14ac:dyDescent="0.35">
      <c r="A21" t="s">
        <v>6</v>
      </c>
      <c r="B21">
        <v>4765</v>
      </c>
      <c r="C21">
        <f t="shared" si="0"/>
        <v>15855</v>
      </c>
      <c r="D21" s="2">
        <v>35042292.773325704</v>
      </c>
      <c r="E21" s="2">
        <v>172363898.77332571</v>
      </c>
      <c r="F21">
        <v>2320560</v>
      </c>
      <c r="G21" s="2">
        <v>43175968.317000002</v>
      </c>
    </row>
    <row r="22" spans="1:7" x14ac:dyDescent="0.35">
      <c r="A22" t="s">
        <v>6</v>
      </c>
      <c r="B22">
        <v>160</v>
      </c>
      <c r="C22">
        <f t="shared" si="0"/>
        <v>16015</v>
      </c>
      <c r="D22" s="2">
        <v>2389760.0000000005</v>
      </c>
      <c r="E22" s="2">
        <v>174753658.77332571</v>
      </c>
      <c r="F22">
        <v>1074240</v>
      </c>
      <c r="G22" s="2">
        <v>44250208.317000002</v>
      </c>
    </row>
    <row r="23" spans="1:7" x14ac:dyDescent="0.35">
      <c r="A23" t="s">
        <v>4</v>
      </c>
      <c r="B23">
        <v>33</v>
      </c>
      <c r="C23">
        <f t="shared" si="0"/>
        <v>16048</v>
      </c>
      <c r="D23" s="2">
        <v>277629</v>
      </c>
      <c r="E23" s="2">
        <v>175031287.77332571</v>
      </c>
      <c r="F23">
        <v>1152538</v>
      </c>
      <c r="G23" s="2">
        <v>45402746.317000002</v>
      </c>
    </row>
    <row r="24" spans="1:7" x14ac:dyDescent="0.35">
      <c r="A24" t="s">
        <v>4</v>
      </c>
      <c r="B24">
        <v>39</v>
      </c>
      <c r="C24">
        <f t="shared" si="0"/>
        <v>16087</v>
      </c>
      <c r="D24" s="2">
        <v>328107</v>
      </c>
      <c r="E24" s="2">
        <v>175359394.77332571</v>
      </c>
      <c r="F24">
        <v>367878</v>
      </c>
      <c r="G24" s="2">
        <v>45770624.317000002</v>
      </c>
    </row>
    <row r="25" spans="1:7" x14ac:dyDescent="0.35">
      <c r="A25" t="s">
        <v>6</v>
      </c>
      <c r="B25">
        <v>4</v>
      </c>
      <c r="C25">
        <f t="shared" si="0"/>
        <v>16091</v>
      </c>
      <c r="D25" s="2">
        <v>128076</v>
      </c>
      <c r="E25" s="2">
        <v>175487470.77332571</v>
      </c>
      <c r="F25">
        <v>68156</v>
      </c>
      <c r="G25" s="2">
        <v>45838780.317000002</v>
      </c>
    </row>
    <row r="26" spans="1:7" x14ac:dyDescent="0.35">
      <c r="A26" t="s">
        <v>6</v>
      </c>
      <c r="B26">
        <v>100</v>
      </c>
      <c r="C26">
        <f t="shared" si="0"/>
        <v>16191</v>
      </c>
      <c r="D26" s="2">
        <v>1493600</v>
      </c>
      <c r="E26" s="2">
        <v>176981070.77332571</v>
      </c>
      <c r="F26">
        <v>1493900</v>
      </c>
      <c r="G26" s="2">
        <v>47332680.317000002</v>
      </c>
    </row>
    <row r="27" spans="1:7" x14ac:dyDescent="0.35">
      <c r="A27" t="s">
        <v>6</v>
      </c>
      <c r="B27">
        <v>100</v>
      </c>
      <c r="C27">
        <f t="shared" si="0"/>
        <v>16291</v>
      </c>
      <c r="D27" s="2">
        <v>1493600</v>
      </c>
      <c r="E27" s="2">
        <v>178474670.77332571</v>
      </c>
      <c r="F27">
        <v>1493900</v>
      </c>
      <c r="G27" s="2">
        <v>48826580.317000002</v>
      </c>
    </row>
    <row r="28" spans="1:7" x14ac:dyDescent="0.35">
      <c r="A28" t="s">
        <v>6</v>
      </c>
      <c r="B28">
        <v>196</v>
      </c>
      <c r="C28">
        <f t="shared" si="0"/>
        <v>16487</v>
      </c>
      <c r="D28" s="2">
        <v>1669528</v>
      </c>
      <c r="E28" s="2">
        <v>180144198.77332571</v>
      </c>
      <c r="F28">
        <v>1315944</v>
      </c>
      <c r="G28" s="2">
        <v>50142524.317000002</v>
      </c>
    </row>
    <row r="29" spans="1:7" x14ac:dyDescent="0.35">
      <c r="A29" t="s">
        <v>6</v>
      </c>
      <c r="B29">
        <v>140</v>
      </c>
      <c r="C29">
        <f t="shared" si="0"/>
        <v>16627</v>
      </c>
      <c r="D29" s="2">
        <v>2091040</v>
      </c>
      <c r="E29" s="2">
        <v>182235238.77332571</v>
      </c>
      <c r="F29">
        <v>1426600</v>
      </c>
      <c r="G29" s="2">
        <v>51569124.317000002</v>
      </c>
    </row>
    <row r="30" spans="1:7" x14ac:dyDescent="0.35">
      <c r="A30" t="s">
        <v>6</v>
      </c>
      <c r="B30">
        <v>135</v>
      </c>
      <c r="C30">
        <f t="shared" si="0"/>
        <v>16762</v>
      </c>
      <c r="D30" s="2">
        <v>2016360</v>
      </c>
      <c r="E30" s="2">
        <v>184251598.77332571</v>
      </c>
      <c r="F30">
        <v>1427935</v>
      </c>
      <c r="G30" s="2">
        <v>52997059.317000002</v>
      </c>
    </row>
    <row r="31" spans="1:7" x14ac:dyDescent="0.35">
      <c r="A31" t="s">
        <v>6</v>
      </c>
      <c r="B31">
        <v>120</v>
      </c>
      <c r="C31">
        <f t="shared" si="0"/>
        <v>16882</v>
      </c>
      <c r="D31" s="2">
        <v>1792320</v>
      </c>
      <c r="E31" s="2">
        <v>186043918.77332571</v>
      </c>
      <c r="F31">
        <v>1222800</v>
      </c>
      <c r="G31" s="2">
        <v>54219859.317000002</v>
      </c>
    </row>
    <row r="32" spans="1:7" x14ac:dyDescent="0.35">
      <c r="A32" t="s">
        <v>6</v>
      </c>
      <c r="B32">
        <v>90</v>
      </c>
      <c r="C32">
        <f t="shared" si="0"/>
        <v>16972</v>
      </c>
      <c r="D32" s="2">
        <v>1344240</v>
      </c>
      <c r="E32" s="2">
        <v>187388158.77332571</v>
      </c>
      <c r="F32">
        <v>917100</v>
      </c>
      <c r="G32" s="2">
        <v>55136959.317000002</v>
      </c>
    </row>
    <row r="33" spans="1:7" x14ac:dyDescent="0.35">
      <c r="A33" t="s">
        <v>6</v>
      </c>
      <c r="B33">
        <v>140</v>
      </c>
      <c r="C33">
        <f t="shared" si="0"/>
        <v>17112</v>
      </c>
      <c r="D33" s="2">
        <v>2091040</v>
      </c>
      <c r="E33" s="2">
        <v>189479198.77332571</v>
      </c>
      <c r="F33">
        <v>1426600</v>
      </c>
      <c r="G33" s="2">
        <v>56563559.317000002</v>
      </c>
    </row>
    <row r="34" spans="1:7" x14ac:dyDescent="0.35">
      <c r="A34" t="s">
        <v>6</v>
      </c>
      <c r="B34">
        <v>34</v>
      </c>
      <c r="C34">
        <f t="shared" si="0"/>
        <v>17146</v>
      </c>
      <c r="D34" s="2">
        <v>507824</v>
      </c>
      <c r="E34" s="2">
        <v>189987022.77332571</v>
      </c>
      <c r="F34">
        <v>346460</v>
      </c>
      <c r="G34" s="2">
        <v>56910019.317000002</v>
      </c>
    </row>
    <row r="35" spans="1:7" x14ac:dyDescent="0.35">
      <c r="A35" t="s">
        <v>6</v>
      </c>
      <c r="B35">
        <v>38</v>
      </c>
      <c r="C35">
        <f t="shared" si="0"/>
        <v>17184</v>
      </c>
      <c r="D35" s="2">
        <v>568404</v>
      </c>
      <c r="E35" s="2">
        <v>190555426.77332571</v>
      </c>
      <c r="F35">
        <v>567682</v>
      </c>
      <c r="G35" s="2">
        <v>57477701.317000002</v>
      </c>
    </row>
    <row r="36" spans="1:7" x14ac:dyDescent="0.35">
      <c r="A36" t="s">
        <v>6</v>
      </c>
      <c r="B36">
        <v>130</v>
      </c>
      <c r="C36">
        <f t="shared" si="0"/>
        <v>17314</v>
      </c>
      <c r="D36" s="2">
        <v>1508000</v>
      </c>
      <c r="E36" s="2">
        <v>192063426.77332571</v>
      </c>
      <c r="F36">
        <v>1411755.86</v>
      </c>
      <c r="G36" s="2">
        <v>58889457.177000001</v>
      </c>
    </row>
    <row r="37" spans="1:7" x14ac:dyDescent="0.35">
      <c r="A37" t="s">
        <v>6</v>
      </c>
      <c r="B37">
        <v>20</v>
      </c>
      <c r="C37">
        <f t="shared" si="0"/>
        <v>17334</v>
      </c>
      <c r="D37" s="2">
        <v>232000</v>
      </c>
      <c r="E37" s="2">
        <v>192295426.77332571</v>
      </c>
      <c r="F37">
        <v>217193.21000000002</v>
      </c>
      <c r="G37" s="2">
        <v>59106650.387000002</v>
      </c>
    </row>
    <row r="38" spans="1:7" x14ac:dyDescent="0.35">
      <c r="A38" t="s">
        <v>6</v>
      </c>
      <c r="B38">
        <v>75</v>
      </c>
      <c r="C38">
        <f t="shared" si="0"/>
        <v>17409</v>
      </c>
      <c r="D38" s="2">
        <v>870000</v>
      </c>
      <c r="E38" s="2">
        <v>193165426.77332571</v>
      </c>
      <c r="F38">
        <v>814474.53</v>
      </c>
      <c r="G38" s="2">
        <v>59921124.917000003</v>
      </c>
    </row>
    <row r="39" spans="1:7" x14ac:dyDescent="0.35">
      <c r="A39" t="s">
        <v>6</v>
      </c>
      <c r="B39">
        <v>127</v>
      </c>
      <c r="C39">
        <f t="shared" si="0"/>
        <v>17536</v>
      </c>
      <c r="D39" s="2">
        <v>1473200</v>
      </c>
      <c r="E39" s="2">
        <v>194638626.77332571</v>
      </c>
      <c r="F39">
        <v>1379176.8800000001</v>
      </c>
      <c r="G39" s="2">
        <v>61300301.797000006</v>
      </c>
    </row>
    <row r="40" spans="1:7" x14ac:dyDescent="0.35">
      <c r="A40" t="s">
        <v>6</v>
      </c>
      <c r="B40">
        <v>375</v>
      </c>
      <c r="C40">
        <f t="shared" si="0"/>
        <v>17911</v>
      </c>
      <c r="D40" s="2">
        <v>4443375</v>
      </c>
      <c r="E40" s="2">
        <v>199082001.77332571</v>
      </c>
      <c r="F40">
        <v>182700</v>
      </c>
      <c r="G40" s="2">
        <v>61483001.797000006</v>
      </c>
    </row>
    <row r="41" spans="1:7" x14ac:dyDescent="0.35">
      <c r="A41" t="s">
        <v>6</v>
      </c>
      <c r="B41">
        <v>130</v>
      </c>
      <c r="C41">
        <f t="shared" si="0"/>
        <v>18041</v>
      </c>
      <c r="D41" s="2">
        <v>1443910</v>
      </c>
      <c r="E41" s="2">
        <v>200525911.77332571</v>
      </c>
      <c r="F41">
        <v>63400</v>
      </c>
      <c r="G41" s="2">
        <v>61546401.797000006</v>
      </c>
    </row>
    <row r="42" spans="1:7" x14ac:dyDescent="0.35">
      <c r="A42" t="s">
        <v>6</v>
      </c>
      <c r="B42">
        <v>124</v>
      </c>
      <c r="C42">
        <f t="shared" si="0"/>
        <v>18165</v>
      </c>
      <c r="D42" s="2">
        <v>558000</v>
      </c>
      <c r="E42" s="2">
        <v>201083911.77332571</v>
      </c>
      <c r="F42">
        <v>1215200</v>
      </c>
      <c r="G42" s="2">
        <v>62761601.797000006</v>
      </c>
    </row>
    <row r="43" spans="1:7" x14ac:dyDescent="0.35">
      <c r="A43" t="s">
        <v>5</v>
      </c>
      <c r="B43">
        <v>254</v>
      </c>
      <c r="C43">
        <f t="shared" si="0"/>
        <v>18419</v>
      </c>
      <c r="D43" s="2">
        <v>2946400</v>
      </c>
      <c r="E43" s="2">
        <v>204030311.77332571</v>
      </c>
      <c r="F43">
        <v>3095305.5380000002</v>
      </c>
      <c r="G43" s="2">
        <v>65856907.335000008</v>
      </c>
    </row>
    <row r="44" spans="1:7" x14ac:dyDescent="0.35">
      <c r="A44" t="s">
        <v>5</v>
      </c>
      <c r="B44">
        <v>353</v>
      </c>
      <c r="C44">
        <f t="shared" si="0"/>
        <v>18772</v>
      </c>
      <c r="D44" s="2">
        <v>4094800</v>
      </c>
      <c r="E44" s="2">
        <v>208125111.77332571</v>
      </c>
      <c r="F44">
        <v>5074554.8535000002</v>
      </c>
      <c r="G44" s="2">
        <v>70931462.188500002</v>
      </c>
    </row>
    <row r="45" spans="1:7" x14ac:dyDescent="0.35">
      <c r="A45" t="s">
        <v>5</v>
      </c>
      <c r="B45">
        <v>672</v>
      </c>
      <c r="C45">
        <f t="shared" si="0"/>
        <v>19444</v>
      </c>
      <c r="D45" s="2">
        <v>7795200</v>
      </c>
      <c r="E45" s="2">
        <v>215920311.77332571</v>
      </c>
      <c r="F45">
        <v>9557361.2639999986</v>
      </c>
      <c r="G45" s="2">
        <v>80488823.452500001</v>
      </c>
    </row>
    <row r="46" spans="1:7" x14ac:dyDescent="0.35">
      <c r="A46" t="s">
        <v>5</v>
      </c>
      <c r="B46">
        <v>510</v>
      </c>
      <c r="C46">
        <f t="shared" si="0"/>
        <v>19954</v>
      </c>
      <c r="D46" s="2">
        <v>5916000</v>
      </c>
      <c r="E46" s="2">
        <v>221836311.77332571</v>
      </c>
      <c r="F46">
        <v>7182304.2450000001</v>
      </c>
      <c r="G46" s="2">
        <v>87671127.697500005</v>
      </c>
    </row>
    <row r="47" spans="1:7" x14ac:dyDescent="0.35">
      <c r="A47" t="s">
        <v>5</v>
      </c>
      <c r="B47">
        <v>189</v>
      </c>
      <c r="C47">
        <f t="shared" si="0"/>
        <v>20143</v>
      </c>
      <c r="D47" s="2">
        <v>1164181.4099999999</v>
      </c>
      <c r="E47" s="2">
        <v>223000493.18332571</v>
      </c>
      <c r="F47">
        <v>1733092</v>
      </c>
      <c r="G47" s="2">
        <v>89404219.697500005</v>
      </c>
    </row>
    <row r="48" spans="1:7" x14ac:dyDescent="0.35">
      <c r="A48" t="s">
        <v>5</v>
      </c>
      <c r="B48">
        <v>931</v>
      </c>
      <c r="C48">
        <f t="shared" si="0"/>
        <v>21074</v>
      </c>
      <c r="D48" s="2">
        <v>5734671.3899999997</v>
      </c>
      <c r="E48" s="2">
        <v>228735164.57332569</v>
      </c>
      <c r="F48">
        <v>3335812</v>
      </c>
      <c r="G48" s="2">
        <v>92740031.697500005</v>
      </c>
    </row>
    <row r="49" spans="1:7" x14ac:dyDescent="0.35">
      <c r="A49" t="s">
        <v>5</v>
      </c>
      <c r="B49">
        <v>498</v>
      </c>
      <c r="C49">
        <f t="shared" si="0"/>
        <v>21572</v>
      </c>
      <c r="D49" s="2">
        <v>3067525.6199999996</v>
      </c>
      <c r="E49" s="2">
        <v>231802690.1933257</v>
      </c>
      <c r="F49">
        <v>3781778</v>
      </c>
      <c r="G49" s="2">
        <v>96521809.697500005</v>
      </c>
    </row>
    <row r="50" spans="1:7" x14ac:dyDescent="0.35">
      <c r="A50" t="s">
        <v>5</v>
      </c>
      <c r="B50">
        <v>387</v>
      </c>
      <c r="C50">
        <f t="shared" si="0"/>
        <v>21959</v>
      </c>
      <c r="D50" s="2">
        <v>4489200</v>
      </c>
      <c r="E50" s="2">
        <v>236291890.1933257</v>
      </c>
      <c r="F50">
        <v>198937.77300000002</v>
      </c>
      <c r="G50" s="2">
        <v>96720747.470500007</v>
      </c>
    </row>
    <row r="51" spans="1:7" x14ac:dyDescent="0.35">
      <c r="A51" t="s">
        <v>5</v>
      </c>
      <c r="B51">
        <v>336</v>
      </c>
      <c r="C51">
        <f t="shared" si="0"/>
        <v>22295</v>
      </c>
      <c r="D51" s="2">
        <v>3897600</v>
      </c>
      <c r="E51" s="2">
        <v>240189490.1933257</v>
      </c>
      <c r="F51">
        <v>4809681.9120000005</v>
      </c>
      <c r="G51" s="2">
        <v>101530429.38250001</v>
      </c>
    </row>
    <row r="52" spans="1:7" x14ac:dyDescent="0.35">
      <c r="A52" t="s">
        <v>5</v>
      </c>
      <c r="B52">
        <v>328</v>
      </c>
      <c r="C52">
        <f t="shared" si="0"/>
        <v>22623</v>
      </c>
      <c r="D52" s="2">
        <v>3804800</v>
      </c>
      <c r="E52" s="2">
        <v>243994290.1933257</v>
      </c>
      <c r="F52">
        <v>3366590.5440000002</v>
      </c>
      <c r="G52" s="2">
        <v>104897019.92650001</v>
      </c>
    </row>
    <row r="53" spans="1:7" x14ac:dyDescent="0.35">
      <c r="A53" t="s">
        <v>5</v>
      </c>
      <c r="B53">
        <v>493</v>
      </c>
      <c r="C53">
        <f t="shared" si="0"/>
        <v>23116</v>
      </c>
      <c r="D53" s="2">
        <v>5718800</v>
      </c>
      <c r="E53" s="2">
        <v>249713090.1933257</v>
      </c>
      <c r="F53">
        <v>5786258.3635</v>
      </c>
      <c r="G53" s="2">
        <v>110683278.29000001</v>
      </c>
    </row>
    <row r="54" spans="1:7" x14ac:dyDescent="0.35">
      <c r="A54" t="s">
        <v>5</v>
      </c>
      <c r="B54">
        <v>570</v>
      </c>
      <c r="C54">
        <f t="shared" si="0"/>
        <v>23686</v>
      </c>
      <c r="D54" s="2">
        <v>6612000</v>
      </c>
      <c r="E54" s="2">
        <v>256325090.1933257</v>
      </c>
      <c r="F54">
        <v>454211.4</v>
      </c>
      <c r="G54" s="2">
        <v>111137489.69000001</v>
      </c>
    </row>
    <row r="55" spans="1:7" x14ac:dyDescent="0.35">
      <c r="A55" t="s">
        <v>5</v>
      </c>
      <c r="B55">
        <v>145</v>
      </c>
      <c r="C55">
        <f t="shared" si="0"/>
        <v>23831</v>
      </c>
      <c r="D55" s="2">
        <v>2486913.85</v>
      </c>
      <c r="E55" s="2">
        <v>258812004.04332569</v>
      </c>
      <c r="F55">
        <v>2166155</v>
      </c>
      <c r="G55" s="2">
        <v>113303644.69000001</v>
      </c>
    </row>
    <row r="56" spans="1:7" x14ac:dyDescent="0.35">
      <c r="A56" t="s">
        <v>5</v>
      </c>
      <c r="B56">
        <v>185</v>
      </c>
      <c r="C56">
        <f t="shared" si="0"/>
        <v>24016</v>
      </c>
      <c r="D56" s="2">
        <v>3172959.0500000003</v>
      </c>
      <c r="E56" s="2">
        <v>261984963.0933257</v>
      </c>
      <c r="F56">
        <v>2763715</v>
      </c>
      <c r="G56" s="2">
        <v>116067359.69000001</v>
      </c>
    </row>
    <row r="57" spans="1:7" x14ac:dyDescent="0.35">
      <c r="A57" t="s">
        <v>5</v>
      </c>
      <c r="B57">
        <v>167</v>
      </c>
      <c r="C57">
        <f t="shared" si="0"/>
        <v>24183</v>
      </c>
      <c r="D57" s="2">
        <v>2864238.71</v>
      </c>
      <c r="E57" s="2">
        <v>264849201.80332571</v>
      </c>
      <c r="F57">
        <v>2494813</v>
      </c>
      <c r="G57" s="2">
        <v>118562172.69000001</v>
      </c>
    </row>
    <row r="58" spans="1:7" x14ac:dyDescent="0.35">
      <c r="A58" t="s">
        <v>5</v>
      </c>
      <c r="B58">
        <v>80</v>
      </c>
      <c r="C58">
        <f t="shared" si="0"/>
        <v>24263</v>
      </c>
      <c r="D58" s="2">
        <v>1372090.4000000001</v>
      </c>
      <c r="E58" s="2">
        <v>266221292.20332572</v>
      </c>
      <c r="F58">
        <v>701800</v>
      </c>
      <c r="G58" s="2">
        <v>119263972.69000001</v>
      </c>
    </row>
    <row r="59" spans="1:7" x14ac:dyDescent="0.35">
      <c r="A59" t="s">
        <v>5</v>
      </c>
      <c r="B59">
        <v>168</v>
      </c>
      <c r="C59">
        <f t="shared" si="0"/>
        <v>24431</v>
      </c>
      <c r="D59" s="2">
        <v>3839808</v>
      </c>
      <c r="E59" s="2">
        <v>270061100.20332575</v>
      </c>
      <c r="F59">
        <v>2509752</v>
      </c>
      <c r="G59" s="2">
        <v>121773724.69000001</v>
      </c>
    </row>
    <row r="60" spans="1:7" x14ac:dyDescent="0.35">
      <c r="A60" t="s">
        <v>5</v>
      </c>
      <c r="B60">
        <v>180</v>
      </c>
      <c r="C60">
        <f t="shared" si="0"/>
        <v>24611</v>
      </c>
      <c r="D60" s="2">
        <v>4114080</v>
      </c>
      <c r="E60" s="2">
        <v>274175180.20332575</v>
      </c>
      <c r="F60">
        <v>0</v>
      </c>
      <c r="G60" s="2">
        <v>121773724.69000001</v>
      </c>
    </row>
    <row r="61" spans="1:7" x14ac:dyDescent="0.35">
      <c r="A61" t="s">
        <v>5</v>
      </c>
      <c r="B61">
        <v>95</v>
      </c>
      <c r="C61">
        <f t="shared" si="0"/>
        <v>24706</v>
      </c>
      <c r="D61" s="2">
        <v>2171320</v>
      </c>
      <c r="E61" s="2">
        <v>276346500.20332575</v>
      </c>
      <c r="F61">
        <v>1419205</v>
      </c>
      <c r="G61" s="2">
        <v>123192929.69000001</v>
      </c>
    </row>
    <row r="62" spans="1:7" x14ac:dyDescent="0.35">
      <c r="A62" t="s">
        <v>5</v>
      </c>
      <c r="B62">
        <v>128</v>
      </c>
      <c r="C62">
        <f t="shared" si="0"/>
        <v>24834</v>
      </c>
      <c r="D62" s="2">
        <v>2925568</v>
      </c>
      <c r="E62" s="2">
        <v>279272068.20332575</v>
      </c>
      <c r="F62">
        <v>1912192</v>
      </c>
      <c r="G62" s="2">
        <v>125105121.69000001</v>
      </c>
    </row>
    <row r="63" spans="1:7" x14ac:dyDescent="0.35">
      <c r="A63" t="s">
        <v>5</v>
      </c>
      <c r="B63">
        <v>162</v>
      </c>
      <c r="C63">
        <f t="shared" si="0"/>
        <v>24996</v>
      </c>
      <c r="D63" s="2">
        <v>3702672</v>
      </c>
      <c r="E63" s="2">
        <v>282974740.20332575</v>
      </c>
      <c r="F63">
        <v>2420118</v>
      </c>
      <c r="G63" s="2">
        <v>127525239.69000001</v>
      </c>
    </row>
    <row r="64" spans="1:7" x14ac:dyDescent="0.35">
      <c r="A64" t="s">
        <v>5</v>
      </c>
      <c r="B64">
        <v>168</v>
      </c>
      <c r="C64">
        <f t="shared" si="0"/>
        <v>25164</v>
      </c>
      <c r="D64" s="2">
        <v>3839808</v>
      </c>
      <c r="E64" s="2">
        <v>286814548.20332575</v>
      </c>
      <c r="F64">
        <v>2509752</v>
      </c>
      <c r="G64" s="2">
        <v>130034991.69000001</v>
      </c>
    </row>
    <row r="65" spans="1:7" x14ac:dyDescent="0.35">
      <c r="A65" t="s">
        <v>5</v>
      </c>
      <c r="B65">
        <v>170</v>
      </c>
      <c r="C65">
        <f t="shared" si="0"/>
        <v>25334</v>
      </c>
      <c r="D65" s="2">
        <v>3885520</v>
      </c>
      <c r="E65" s="2">
        <v>290700068.20332575</v>
      </c>
      <c r="F65">
        <v>2539630</v>
      </c>
      <c r="G65" s="2">
        <v>132574621.69000001</v>
      </c>
    </row>
    <row r="66" spans="1:7" x14ac:dyDescent="0.35">
      <c r="A66" t="s">
        <v>5</v>
      </c>
      <c r="B66">
        <v>100</v>
      </c>
      <c r="C66">
        <f t="shared" si="0"/>
        <v>25434</v>
      </c>
      <c r="D66" s="2">
        <v>1164027</v>
      </c>
      <c r="E66" s="2">
        <v>291864095.20332575</v>
      </c>
      <c r="F66">
        <v>1019000</v>
      </c>
      <c r="G66" s="2">
        <v>133593621.69000001</v>
      </c>
    </row>
    <row r="67" spans="1:7" x14ac:dyDescent="0.35">
      <c r="A67" t="s">
        <v>5</v>
      </c>
      <c r="B67">
        <v>135</v>
      </c>
      <c r="C67">
        <f t="shared" si="0"/>
        <v>25569</v>
      </c>
      <c r="D67" s="2">
        <v>1571436.45</v>
      </c>
      <c r="E67" s="2">
        <v>293435531.65332574</v>
      </c>
      <c r="F67">
        <v>1636845</v>
      </c>
      <c r="G67" s="2">
        <v>135230466.69</v>
      </c>
    </row>
    <row r="68" spans="1:7" x14ac:dyDescent="0.35">
      <c r="A68" t="s">
        <v>5</v>
      </c>
      <c r="B68">
        <v>100</v>
      </c>
      <c r="C68">
        <f t="shared" si="0"/>
        <v>25669</v>
      </c>
      <c r="D68" s="2">
        <v>1164027</v>
      </c>
      <c r="E68" s="2">
        <v>294599558.65332574</v>
      </c>
      <c r="F68">
        <v>1019000</v>
      </c>
      <c r="G68" s="2">
        <v>136249466.69</v>
      </c>
    </row>
    <row r="69" spans="1:7" x14ac:dyDescent="0.35">
      <c r="A69" t="s">
        <v>5</v>
      </c>
      <c r="B69">
        <v>100</v>
      </c>
      <c r="C69">
        <f t="shared" si="0"/>
        <v>25769</v>
      </c>
      <c r="D69" s="2">
        <v>1164027</v>
      </c>
      <c r="E69" s="2">
        <v>295763585.65332574</v>
      </c>
      <c r="F69">
        <v>1019000</v>
      </c>
      <c r="G69" s="2">
        <v>137268466.69</v>
      </c>
    </row>
    <row r="70" spans="1:7" x14ac:dyDescent="0.35">
      <c r="A70" t="s">
        <v>5</v>
      </c>
      <c r="B70">
        <v>100</v>
      </c>
      <c r="C70">
        <f t="shared" ref="C70:C133" si="1">B70+C69</f>
        <v>25869</v>
      </c>
      <c r="D70" s="2">
        <v>1164027</v>
      </c>
      <c r="E70" s="2">
        <v>296927612.65332574</v>
      </c>
      <c r="F70">
        <v>1019000</v>
      </c>
      <c r="G70" s="2">
        <v>138287466.69</v>
      </c>
    </row>
    <row r="71" spans="1:7" x14ac:dyDescent="0.35">
      <c r="A71" t="s">
        <v>5</v>
      </c>
      <c r="B71">
        <v>100</v>
      </c>
      <c r="C71">
        <f t="shared" si="1"/>
        <v>25969</v>
      </c>
      <c r="D71" s="2">
        <v>1164027</v>
      </c>
      <c r="E71" s="2">
        <v>298091639.65332574</v>
      </c>
      <c r="F71">
        <v>1019000</v>
      </c>
      <c r="G71" s="2">
        <v>139306466.69</v>
      </c>
    </row>
    <row r="72" spans="1:7" x14ac:dyDescent="0.35">
      <c r="A72" t="s">
        <v>5</v>
      </c>
      <c r="B72">
        <v>100</v>
      </c>
      <c r="C72">
        <f t="shared" si="1"/>
        <v>26069</v>
      </c>
      <c r="D72" s="2">
        <v>1164027</v>
      </c>
      <c r="E72" s="2">
        <v>299255666.65332574</v>
      </c>
      <c r="F72">
        <v>820275</v>
      </c>
      <c r="G72" s="2">
        <v>140126741.69</v>
      </c>
    </row>
    <row r="73" spans="1:7" x14ac:dyDescent="0.35">
      <c r="A73" t="s">
        <v>5</v>
      </c>
      <c r="B73">
        <v>85</v>
      </c>
      <c r="C73">
        <f t="shared" si="1"/>
        <v>26154</v>
      </c>
      <c r="D73" s="2">
        <v>989422.95000000007</v>
      </c>
      <c r="E73" s="2">
        <v>300245089.60332572</v>
      </c>
      <c r="F73">
        <v>866150</v>
      </c>
      <c r="G73" s="2">
        <v>140992891.69</v>
      </c>
    </row>
    <row r="74" spans="1:7" x14ac:dyDescent="0.35">
      <c r="A74" t="s">
        <v>5</v>
      </c>
      <c r="B74">
        <v>50</v>
      </c>
      <c r="C74">
        <f t="shared" si="1"/>
        <v>26204</v>
      </c>
      <c r="D74" s="2">
        <v>582013.5</v>
      </c>
      <c r="E74" s="2">
        <v>300827103.10332572</v>
      </c>
      <c r="F74">
        <v>461860</v>
      </c>
      <c r="G74" s="2">
        <v>141454751.69</v>
      </c>
    </row>
    <row r="75" spans="1:7" x14ac:dyDescent="0.35">
      <c r="A75" t="s">
        <v>5</v>
      </c>
      <c r="B75">
        <v>103</v>
      </c>
      <c r="C75">
        <f t="shared" si="1"/>
        <v>26307</v>
      </c>
      <c r="D75" s="2">
        <v>1198947.81</v>
      </c>
      <c r="E75" s="2">
        <v>302026050.91332573</v>
      </c>
      <c r="F75">
        <v>1358177</v>
      </c>
      <c r="G75" s="2">
        <v>142812928.69</v>
      </c>
    </row>
    <row r="76" spans="1:7" x14ac:dyDescent="0.35">
      <c r="A76" t="s">
        <v>5</v>
      </c>
      <c r="B76">
        <v>105</v>
      </c>
      <c r="C76">
        <f t="shared" si="1"/>
        <v>26412</v>
      </c>
      <c r="D76" s="2">
        <v>1222228.3500000001</v>
      </c>
      <c r="E76" s="2">
        <v>303248279.26332575</v>
      </c>
      <c r="F76">
        <v>1568595</v>
      </c>
      <c r="G76" s="2">
        <v>144381523.69</v>
      </c>
    </row>
    <row r="77" spans="1:7" x14ac:dyDescent="0.35">
      <c r="A77" t="s">
        <v>5</v>
      </c>
      <c r="B77">
        <v>100</v>
      </c>
      <c r="C77">
        <f t="shared" si="1"/>
        <v>26512</v>
      </c>
      <c r="D77" s="2">
        <v>1164027</v>
      </c>
      <c r="E77" s="2">
        <v>304412306.26332575</v>
      </c>
      <c r="F77">
        <v>1066490</v>
      </c>
      <c r="G77" s="2">
        <v>145448013.69</v>
      </c>
    </row>
    <row r="78" spans="1:7" x14ac:dyDescent="0.35">
      <c r="A78" t="s">
        <v>5</v>
      </c>
      <c r="B78">
        <v>100</v>
      </c>
      <c r="C78">
        <f t="shared" si="1"/>
        <v>26612</v>
      </c>
      <c r="D78" s="2">
        <v>1164027</v>
      </c>
      <c r="E78" s="2">
        <v>305576333.26332575</v>
      </c>
      <c r="F78">
        <v>1019000</v>
      </c>
      <c r="G78" s="2">
        <v>146467013.69</v>
      </c>
    </row>
    <row r="79" spans="1:7" x14ac:dyDescent="0.35">
      <c r="A79" t="s">
        <v>5</v>
      </c>
      <c r="B79">
        <v>100</v>
      </c>
      <c r="C79">
        <f t="shared" si="1"/>
        <v>26712</v>
      </c>
      <c r="D79" s="2">
        <v>1164027</v>
      </c>
      <c r="E79" s="2">
        <v>306740360.26332575</v>
      </c>
      <c r="F79">
        <v>1019000</v>
      </c>
      <c r="G79" s="2">
        <v>147486013.69</v>
      </c>
    </row>
    <row r="80" spans="1:7" x14ac:dyDescent="0.35">
      <c r="A80" t="s">
        <v>5</v>
      </c>
      <c r="B80">
        <v>100</v>
      </c>
      <c r="C80">
        <f t="shared" si="1"/>
        <v>26812</v>
      </c>
      <c r="D80" s="2">
        <v>1164027</v>
      </c>
      <c r="E80" s="2">
        <v>307904387.26332575</v>
      </c>
      <c r="F80">
        <v>1493900</v>
      </c>
      <c r="G80" s="2">
        <v>148979913.69</v>
      </c>
    </row>
    <row r="81" spans="1:7" x14ac:dyDescent="0.35">
      <c r="A81" t="s">
        <v>5</v>
      </c>
      <c r="B81">
        <v>90</v>
      </c>
      <c r="C81">
        <f t="shared" si="1"/>
        <v>26902</v>
      </c>
      <c r="D81" s="2">
        <v>1047624.3</v>
      </c>
      <c r="E81" s="2">
        <v>308952011.56332576</v>
      </c>
      <c r="F81">
        <v>917100</v>
      </c>
      <c r="G81" s="2">
        <v>149897013.69</v>
      </c>
    </row>
    <row r="82" spans="1:7" x14ac:dyDescent="0.35">
      <c r="A82" t="s">
        <v>5</v>
      </c>
      <c r="B82">
        <v>100</v>
      </c>
      <c r="C82">
        <f t="shared" si="1"/>
        <v>27002</v>
      </c>
      <c r="D82" s="2">
        <v>1164027</v>
      </c>
      <c r="E82" s="2">
        <v>310116038.56332576</v>
      </c>
      <c r="F82">
        <v>1493900</v>
      </c>
      <c r="G82" s="2">
        <v>151390913.69</v>
      </c>
    </row>
    <row r="83" spans="1:7" x14ac:dyDescent="0.35">
      <c r="A83" t="s">
        <v>5</v>
      </c>
      <c r="B83">
        <v>120</v>
      </c>
      <c r="C83">
        <f t="shared" si="1"/>
        <v>27122</v>
      </c>
      <c r="D83" s="2">
        <v>1396832.4000000001</v>
      </c>
      <c r="E83" s="2">
        <v>311512870.96332574</v>
      </c>
      <c r="F83">
        <v>1792680</v>
      </c>
      <c r="G83" s="2">
        <v>153183593.69</v>
      </c>
    </row>
    <row r="84" spans="1:7" x14ac:dyDescent="0.35">
      <c r="A84" t="s">
        <v>5</v>
      </c>
      <c r="B84">
        <v>100</v>
      </c>
      <c r="C84">
        <f t="shared" si="1"/>
        <v>27222</v>
      </c>
      <c r="D84" s="2">
        <v>1164027</v>
      </c>
      <c r="E84" s="2">
        <v>312676897.96332574</v>
      </c>
      <c r="F84">
        <v>883675</v>
      </c>
      <c r="G84" s="2">
        <v>154067268.69</v>
      </c>
    </row>
    <row r="85" spans="1:7" x14ac:dyDescent="0.35">
      <c r="A85" t="s">
        <v>5</v>
      </c>
      <c r="B85">
        <v>640</v>
      </c>
      <c r="C85">
        <f t="shared" si="1"/>
        <v>27862</v>
      </c>
      <c r="D85" s="2">
        <v>7424000</v>
      </c>
      <c r="E85" s="2">
        <v>320100897.96332574</v>
      </c>
      <c r="F85">
        <v>9200326.0800000001</v>
      </c>
      <c r="G85" s="2">
        <v>163267594.77000001</v>
      </c>
    </row>
    <row r="86" spans="1:7" x14ac:dyDescent="0.35">
      <c r="A86" t="s">
        <v>5</v>
      </c>
      <c r="B86">
        <v>470</v>
      </c>
      <c r="C86">
        <f t="shared" si="1"/>
        <v>28332</v>
      </c>
      <c r="D86" s="2">
        <v>5452000</v>
      </c>
      <c r="E86" s="2">
        <v>325552897.96332574</v>
      </c>
      <c r="F86">
        <v>6756489.4650000008</v>
      </c>
      <c r="G86" s="2">
        <v>170024084.23500001</v>
      </c>
    </row>
    <row r="87" spans="1:7" x14ac:dyDescent="0.35">
      <c r="A87" t="s">
        <v>5</v>
      </c>
      <c r="B87">
        <v>970</v>
      </c>
      <c r="C87">
        <f t="shared" si="1"/>
        <v>29302</v>
      </c>
      <c r="D87" s="2">
        <v>11252000</v>
      </c>
      <c r="E87" s="2">
        <v>336804897.96332574</v>
      </c>
      <c r="F87">
        <v>13944244.215000002</v>
      </c>
      <c r="G87" s="2">
        <v>183968328.45000002</v>
      </c>
    </row>
    <row r="88" spans="1:7" x14ac:dyDescent="0.35">
      <c r="A88" t="s">
        <v>5</v>
      </c>
      <c r="B88">
        <v>155</v>
      </c>
      <c r="C88">
        <f t="shared" si="1"/>
        <v>29457</v>
      </c>
      <c r="D88" s="2">
        <v>1860000</v>
      </c>
      <c r="E88" s="2">
        <v>338664897.96332574</v>
      </c>
      <c r="F88">
        <v>1620835</v>
      </c>
      <c r="G88" s="2">
        <v>185589163.45000002</v>
      </c>
    </row>
    <row r="89" spans="1:7" x14ac:dyDescent="0.35">
      <c r="A89" t="s">
        <v>5</v>
      </c>
      <c r="B89">
        <v>120</v>
      </c>
      <c r="C89">
        <f t="shared" si="1"/>
        <v>29577</v>
      </c>
      <c r="D89" s="2">
        <v>1440000</v>
      </c>
      <c r="E89" s="2">
        <v>340104897.96332574</v>
      </c>
      <c r="F89">
        <v>1254840</v>
      </c>
      <c r="G89" s="2">
        <v>186844003.45000002</v>
      </c>
    </row>
    <row r="90" spans="1:7" x14ac:dyDescent="0.35">
      <c r="A90" t="s">
        <v>5</v>
      </c>
      <c r="B90">
        <v>179</v>
      </c>
      <c r="C90">
        <f t="shared" si="1"/>
        <v>29756</v>
      </c>
      <c r="D90" s="2">
        <v>2148000</v>
      </c>
      <c r="E90" s="2">
        <v>342252897.96332574</v>
      </c>
      <c r="F90">
        <v>1354738</v>
      </c>
      <c r="G90" s="2">
        <v>188198741.45000002</v>
      </c>
    </row>
    <row r="91" spans="1:7" x14ac:dyDescent="0.35">
      <c r="A91" t="s">
        <v>5</v>
      </c>
      <c r="B91">
        <v>106</v>
      </c>
      <c r="C91">
        <f t="shared" si="1"/>
        <v>29862</v>
      </c>
      <c r="D91" s="2">
        <v>1272000</v>
      </c>
      <c r="E91" s="2">
        <v>343524897.96332574</v>
      </c>
      <c r="F91">
        <v>1080140</v>
      </c>
      <c r="G91" s="2">
        <v>189278881.45000002</v>
      </c>
    </row>
    <row r="92" spans="1:7" x14ac:dyDescent="0.35">
      <c r="A92" t="s">
        <v>5</v>
      </c>
      <c r="B92">
        <v>75</v>
      </c>
      <c r="C92">
        <f t="shared" si="1"/>
        <v>29937</v>
      </c>
      <c r="D92" s="2">
        <v>900000</v>
      </c>
      <c r="E92" s="2">
        <v>344424897.96332574</v>
      </c>
      <c r="F92">
        <v>764784</v>
      </c>
      <c r="G92" s="2">
        <v>190043665.45000002</v>
      </c>
    </row>
    <row r="93" spans="1:7" x14ac:dyDescent="0.35">
      <c r="A93" t="s">
        <v>5</v>
      </c>
      <c r="B93">
        <v>35</v>
      </c>
      <c r="C93">
        <f t="shared" si="1"/>
        <v>29972</v>
      </c>
      <c r="D93" s="2">
        <v>420000</v>
      </c>
      <c r="E93" s="2">
        <v>344844897.96332574</v>
      </c>
      <c r="F93">
        <v>356650</v>
      </c>
      <c r="G93" s="2">
        <v>190400315.45000002</v>
      </c>
    </row>
    <row r="94" spans="1:7" x14ac:dyDescent="0.35">
      <c r="A94" t="s">
        <v>5</v>
      </c>
      <c r="B94">
        <v>202</v>
      </c>
      <c r="C94">
        <f t="shared" si="1"/>
        <v>30174</v>
      </c>
      <c r="D94" s="2">
        <v>2424000</v>
      </c>
      <c r="E94" s="2">
        <v>347268897.96332574</v>
      </c>
      <c r="F94">
        <v>2058380</v>
      </c>
      <c r="G94" s="2">
        <v>192458695.45000002</v>
      </c>
    </row>
    <row r="95" spans="1:7" x14ac:dyDescent="0.35">
      <c r="A95" t="s">
        <v>5</v>
      </c>
      <c r="B95">
        <v>113</v>
      </c>
      <c r="C95">
        <f t="shared" si="1"/>
        <v>30287</v>
      </c>
      <c r="D95" s="2">
        <v>1356000</v>
      </c>
      <c r="E95" s="2">
        <v>348624897.96332574</v>
      </c>
      <c r="F95">
        <v>1151470</v>
      </c>
      <c r="G95" s="2">
        <v>193610165.45000002</v>
      </c>
    </row>
    <row r="96" spans="1:7" x14ac:dyDescent="0.35">
      <c r="A96" t="s">
        <v>5</v>
      </c>
      <c r="B96">
        <v>103</v>
      </c>
      <c r="C96">
        <f t="shared" si="1"/>
        <v>30390</v>
      </c>
      <c r="D96" s="2">
        <v>1236000</v>
      </c>
      <c r="E96" s="2">
        <v>349860897.96332574</v>
      </c>
      <c r="F96">
        <v>1049570</v>
      </c>
      <c r="G96" s="2">
        <v>194659735.45000002</v>
      </c>
    </row>
    <row r="97" spans="1:7" x14ac:dyDescent="0.35">
      <c r="A97" t="s">
        <v>5</v>
      </c>
      <c r="B97">
        <v>156</v>
      </c>
      <c r="C97">
        <f t="shared" si="1"/>
        <v>30546</v>
      </c>
      <c r="D97" s="2">
        <v>1872000</v>
      </c>
      <c r="E97" s="2">
        <v>351732897.96332574</v>
      </c>
      <c r="F97">
        <v>1624350</v>
      </c>
      <c r="G97" s="2">
        <v>196284085.45000002</v>
      </c>
    </row>
    <row r="98" spans="1:7" x14ac:dyDescent="0.35">
      <c r="A98" t="s">
        <v>5</v>
      </c>
      <c r="B98">
        <v>83</v>
      </c>
      <c r="C98">
        <f t="shared" si="1"/>
        <v>30629</v>
      </c>
      <c r="D98" s="2">
        <v>996000</v>
      </c>
      <c r="E98" s="2">
        <v>352728897.96332574</v>
      </c>
      <c r="F98">
        <v>855115</v>
      </c>
      <c r="G98" s="2">
        <v>197139200.45000002</v>
      </c>
    </row>
    <row r="99" spans="1:7" x14ac:dyDescent="0.35">
      <c r="A99" t="s">
        <v>5</v>
      </c>
      <c r="B99">
        <v>97</v>
      </c>
      <c r="C99">
        <f t="shared" si="1"/>
        <v>30726</v>
      </c>
      <c r="D99" s="2">
        <v>1164000</v>
      </c>
      <c r="E99" s="2">
        <v>353892897.96332574</v>
      </c>
      <c r="F99">
        <v>1008188</v>
      </c>
      <c r="G99" s="2">
        <v>198147388.45000002</v>
      </c>
    </row>
    <row r="100" spans="1:7" x14ac:dyDescent="0.35">
      <c r="A100" t="s">
        <v>5</v>
      </c>
      <c r="B100">
        <v>103</v>
      </c>
      <c r="C100">
        <f t="shared" si="1"/>
        <v>30829</v>
      </c>
      <c r="D100" s="2">
        <v>1236000</v>
      </c>
      <c r="E100" s="2">
        <v>355128897.96332574</v>
      </c>
      <c r="F100">
        <v>1077071</v>
      </c>
      <c r="G100" s="2">
        <v>199224459.45000002</v>
      </c>
    </row>
    <row r="101" spans="1:7" x14ac:dyDescent="0.35">
      <c r="A101" t="s">
        <v>5</v>
      </c>
      <c r="B101">
        <v>54</v>
      </c>
      <c r="C101">
        <f t="shared" si="1"/>
        <v>30883</v>
      </c>
      <c r="D101" s="2">
        <v>648000</v>
      </c>
      <c r="E101" s="2">
        <v>355776897.96332574</v>
      </c>
      <c r="F101">
        <v>550260</v>
      </c>
      <c r="G101" s="2">
        <v>199774719.45000002</v>
      </c>
    </row>
    <row r="102" spans="1:7" x14ac:dyDescent="0.35">
      <c r="A102" t="s">
        <v>4</v>
      </c>
      <c r="B102">
        <v>416</v>
      </c>
      <c r="C102">
        <f t="shared" si="1"/>
        <v>31299</v>
      </c>
      <c r="D102" s="2">
        <v>2671601.92</v>
      </c>
      <c r="E102" s="2">
        <v>358448499.88332576</v>
      </c>
      <c r="F102">
        <v>5597280</v>
      </c>
      <c r="G102" s="2">
        <v>205371999.45000002</v>
      </c>
    </row>
    <row r="103" spans="1:7" x14ac:dyDescent="0.35">
      <c r="A103" t="s">
        <v>4</v>
      </c>
      <c r="B103">
        <v>800</v>
      </c>
      <c r="C103">
        <f t="shared" si="1"/>
        <v>32099</v>
      </c>
      <c r="D103" s="2">
        <v>5137696</v>
      </c>
      <c r="E103" s="2">
        <v>363586195.88332576</v>
      </c>
      <c r="F103">
        <v>2367061.25</v>
      </c>
      <c r="G103" s="2">
        <v>207739060.70000002</v>
      </c>
    </row>
    <row r="104" spans="1:7" x14ac:dyDescent="0.35">
      <c r="A104" t="s">
        <v>4</v>
      </c>
      <c r="B104">
        <v>414</v>
      </c>
      <c r="C104">
        <f t="shared" si="1"/>
        <v>32513</v>
      </c>
      <c r="D104" s="2">
        <v>2658757.6800000002</v>
      </c>
      <c r="E104" s="2">
        <v>366244953.56332576</v>
      </c>
      <c r="F104">
        <v>3566725</v>
      </c>
      <c r="G104" s="2">
        <v>211305785.70000002</v>
      </c>
    </row>
    <row r="105" spans="1:7" x14ac:dyDescent="0.35">
      <c r="A105" t="s">
        <v>4</v>
      </c>
      <c r="B105">
        <v>960</v>
      </c>
      <c r="C105">
        <f t="shared" si="1"/>
        <v>33473</v>
      </c>
      <c r="D105" s="2">
        <v>6165235.2000000002</v>
      </c>
      <c r="E105" s="2">
        <v>372410188.76332575</v>
      </c>
      <c r="F105">
        <v>2835108.75</v>
      </c>
      <c r="G105" s="2">
        <v>214140894.45000002</v>
      </c>
    </row>
    <row r="106" spans="1:7" x14ac:dyDescent="0.35">
      <c r="A106" t="s">
        <v>4</v>
      </c>
      <c r="B106">
        <v>300</v>
      </c>
      <c r="C106">
        <f t="shared" si="1"/>
        <v>33773</v>
      </c>
      <c r="D106" s="2">
        <v>1926636</v>
      </c>
      <c r="E106" s="2">
        <v>374336824.76332575</v>
      </c>
      <c r="F106">
        <v>911118.75</v>
      </c>
      <c r="G106" s="2">
        <v>215052013.20000002</v>
      </c>
    </row>
    <row r="107" spans="1:7" x14ac:dyDescent="0.35">
      <c r="A107" t="s">
        <v>4</v>
      </c>
      <c r="B107">
        <v>810</v>
      </c>
      <c r="C107">
        <f t="shared" si="1"/>
        <v>34583</v>
      </c>
      <c r="D107" s="2">
        <v>5201917.2</v>
      </c>
      <c r="E107" s="2">
        <v>379538741.96332574</v>
      </c>
      <c r="F107">
        <v>5072777.5</v>
      </c>
      <c r="G107" s="2">
        <v>220124790.70000002</v>
      </c>
    </row>
    <row r="108" spans="1:7" x14ac:dyDescent="0.35">
      <c r="A108" t="s">
        <v>4</v>
      </c>
      <c r="B108">
        <v>466</v>
      </c>
      <c r="C108">
        <f t="shared" si="1"/>
        <v>35049</v>
      </c>
      <c r="D108" s="2">
        <v>2992707.92</v>
      </c>
      <c r="E108" s="2">
        <v>382531449.88332576</v>
      </c>
      <c r="F108">
        <v>1394706.25</v>
      </c>
      <c r="G108" s="2">
        <v>221519496.95000002</v>
      </c>
    </row>
    <row r="109" spans="1:7" x14ac:dyDescent="0.35">
      <c r="A109" t="s">
        <v>4</v>
      </c>
      <c r="B109">
        <v>830</v>
      </c>
      <c r="C109">
        <f t="shared" si="1"/>
        <v>35879</v>
      </c>
      <c r="D109" s="2">
        <v>5330359.5999999996</v>
      </c>
      <c r="E109" s="2">
        <v>387861809.48332578</v>
      </c>
      <c r="F109">
        <v>2834870</v>
      </c>
      <c r="G109" s="2">
        <v>224354366.95000002</v>
      </c>
    </row>
    <row r="110" spans="1:7" x14ac:dyDescent="0.35">
      <c r="A110" t="s">
        <v>4</v>
      </c>
      <c r="B110">
        <v>538</v>
      </c>
      <c r="C110">
        <f t="shared" si="1"/>
        <v>36417</v>
      </c>
      <c r="D110" s="2">
        <v>3455100.56</v>
      </c>
      <c r="E110" s="2">
        <v>391316910.04332578</v>
      </c>
      <c r="F110">
        <v>1636690</v>
      </c>
      <c r="G110" s="2">
        <v>225991056.95000002</v>
      </c>
    </row>
    <row r="111" spans="1:7" x14ac:dyDescent="0.35">
      <c r="A111" t="s">
        <v>5</v>
      </c>
      <c r="B111">
        <v>706</v>
      </c>
      <c r="C111">
        <f t="shared" si="1"/>
        <v>37123</v>
      </c>
      <c r="D111" s="2">
        <v>4289656</v>
      </c>
      <c r="E111" s="2">
        <v>395606566.04332578</v>
      </c>
      <c r="F111">
        <v>8001355.7000000002</v>
      </c>
      <c r="G111" s="2">
        <v>233992412.65000001</v>
      </c>
    </row>
    <row r="112" spans="1:7" x14ac:dyDescent="0.35">
      <c r="A112" t="s">
        <v>5</v>
      </c>
      <c r="B112">
        <v>922</v>
      </c>
      <c r="C112">
        <f t="shared" si="1"/>
        <v>38045</v>
      </c>
      <c r="D112" s="2">
        <v>5602072</v>
      </c>
      <c r="E112" s="2">
        <v>401208638.04332578</v>
      </c>
      <c r="F112">
        <v>14564420.9</v>
      </c>
      <c r="G112" s="2">
        <v>248556833.55000001</v>
      </c>
    </row>
    <row r="113" spans="1:7" x14ac:dyDescent="0.35">
      <c r="A113" t="s">
        <v>5</v>
      </c>
      <c r="B113">
        <v>600</v>
      </c>
      <c r="C113">
        <f t="shared" si="1"/>
        <v>38645</v>
      </c>
      <c r="D113" s="2">
        <v>3645600</v>
      </c>
      <c r="E113" s="2">
        <v>404854238.04332578</v>
      </c>
      <c r="F113">
        <v>5940150</v>
      </c>
      <c r="G113" s="2">
        <v>254496983.55000001</v>
      </c>
    </row>
    <row r="114" spans="1:7" x14ac:dyDescent="0.35">
      <c r="A114" t="s">
        <v>5</v>
      </c>
      <c r="B114">
        <v>748</v>
      </c>
      <c r="C114">
        <f t="shared" si="1"/>
        <v>39393</v>
      </c>
      <c r="D114" s="2">
        <v>4544848</v>
      </c>
      <c r="E114" s="2">
        <v>409399086.04332578</v>
      </c>
      <c r="F114">
        <v>1935140.6</v>
      </c>
      <c r="G114" s="2">
        <v>256432124.15000001</v>
      </c>
    </row>
    <row r="115" spans="1:7" x14ac:dyDescent="0.35">
      <c r="A115" t="s">
        <v>5</v>
      </c>
      <c r="B115">
        <v>812</v>
      </c>
      <c r="C115">
        <f t="shared" si="1"/>
        <v>40205</v>
      </c>
      <c r="D115" s="2">
        <v>4933712</v>
      </c>
      <c r="E115" s="2">
        <v>414332798.04332578</v>
      </c>
      <c r="F115">
        <v>14406801.4</v>
      </c>
      <c r="G115" s="2">
        <v>270838925.55000001</v>
      </c>
    </row>
    <row r="116" spans="1:7" x14ac:dyDescent="0.35">
      <c r="A116" t="s">
        <v>5</v>
      </c>
      <c r="B116">
        <v>88</v>
      </c>
      <c r="C116">
        <f t="shared" si="1"/>
        <v>40293</v>
      </c>
      <c r="D116" s="2">
        <v>1199000</v>
      </c>
      <c r="E116" s="2">
        <v>415531798.04332578</v>
      </c>
      <c r="F116">
        <v>858977</v>
      </c>
      <c r="G116" s="2">
        <v>271697902.55000001</v>
      </c>
    </row>
    <row r="117" spans="1:7" x14ac:dyDescent="0.35">
      <c r="A117" t="s">
        <v>5</v>
      </c>
      <c r="B117">
        <v>107</v>
      </c>
      <c r="C117">
        <f t="shared" si="1"/>
        <v>40400</v>
      </c>
      <c r="D117" s="2">
        <v>1457875</v>
      </c>
      <c r="E117" s="2">
        <v>416989673.04332578</v>
      </c>
      <c r="F117">
        <v>925279</v>
      </c>
      <c r="G117" s="2">
        <v>272623181.55000001</v>
      </c>
    </row>
    <row r="118" spans="1:7" x14ac:dyDescent="0.35">
      <c r="A118" t="s">
        <v>5</v>
      </c>
      <c r="B118">
        <v>204</v>
      </c>
      <c r="C118">
        <f t="shared" si="1"/>
        <v>40604</v>
      </c>
      <c r="D118" s="2">
        <v>2779500</v>
      </c>
      <c r="E118" s="2">
        <v>419769173.04332578</v>
      </c>
      <c r="F118">
        <v>1974746</v>
      </c>
      <c r="G118" s="2">
        <v>274597927.55000001</v>
      </c>
    </row>
    <row r="119" spans="1:7" x14ac:dyDescent="0.35">
      <c r="A119" t="s">
        <v>5</v>
      </c>
      <c r="B119">
        <v>83</v>
      </c>
      <c r="C119">
        <f t="shared" si="1"/>
        <v>40687</v>
      </c>
      <c r="D119" s="2">
        <v>1130875</v>
      </c>
      <c r="E119" s="2">
        <v>420900048.04332578</v>
      </c>
      <c r="F119">
        <v>837670</v>
      </c>
      <c r="G119" s="2">
        <v>275435597.55000001</v>
      </c>
    </row>
    <row r="120" spans="1:7" x14ac:dyDescent="0.35">
      <c r="A120" t="s">
        <v>5</v>
      </c>
      <c r="B120">
        <v>28</v>
      </c>
      <c r="C120">
        <f t="shared" si="1"/>
        <v>40715</v>
      </c>
      <c r="D120" s="2">
        <v>381500</v>
      </c>
      <c r="E120" s="2">
        <v>421281548.04332578</v>
      </c>
      <c r="F120">
        <v>221061</v>
      </c>
      <c r="G120" s="2">
        <v>275656658.55000001</v>
      </c>
    </row>
    <row r="121" spans="1:7" x14ac:dyDescent="0.35">
      <c r="A121" t="s">
        <v>4</v>
      </c>
      <c r="B121">
        <v>1850</v>
      </c>
      <c r="C121">
        <f t="shared" si="1"/>
        <v>42565</v>
      </c>
      <c r="D121" s="2">
        <v>3936800</v>
      </c>
      <c r="E121" s="2">
        <v>425218348.04332578</v>
      </c>
      <c r="F121">
        <v>12158200</v>
      </c>
      <c r="G121" s="2">
        <v>287814858.55000001</v>
      </c>
    </row>
    <row r="122" spans="1:7" x14ac:dyDescent="0.35">
      <c r="A122" t="s">
        <v>6</v>
      </c>
      <c r="B122">
        <v>37</v>
      </c>
      <c r="C122">
        <f t="shared" si="1"/>
        <v>42602</v>
      </c>
      <c r="D122" s="2">
        <v>384726</v>
      </c>
      <c r="E122" s="2">
        <v>425603074.04332578</v>
      </c>
      <c r="F122">
        <v>363678</v>
      </c>
      <c r="G122" s="2">
        <v>288178536.55000001</v>
      </c>
    </row>
    <row r="123" spans="1:7" x14ac:dyDescent="0.35">
      <c r="A123" t="s">
        <v>6</v>
      </c>
      <c r="B123">
        <v>86</v>
      </c>
      <c r="C123">
        <f t="shared" si="1"/>
        <v>42688</v>
      </c>
      <c r="D123" s="2">
        <v>946000</v>
      </c>
      <c r="E123" s="2">
        <v>426549074.04332578</v>
      </c>
      <c r="F123">
        <v>943924</v>
      </c>
      <c r="G123" s="2">
        <v>289122460.55000001</v>
      </c>
    </row>
    <row r="124" spans="1:7" x14ac:dyDescent="0.35">
      <c r="A124" t="s">
        <v>6</v>
      </c>
      <c r="B124">
        <v>156</v>
      </c>
      <c r="C124">
        <f t="shared" si="1"/>
        <v>42844</v>
      </c>
      <c r="D124" s="2">
        <v>2330016</v>
      </c>
      <c r="E124" s="2">
        <v>428879090.04332578</v>
      </c>
      <c r="F124">
        <v>1047384</v>
      </c>
      <c r="G124" s="2">
        <v>290169844.55000001</v>
      </c>
    </row>
    <row r="125" spans="1:7" x14ac:dyDescent="0.35">
      <c r="A125" t="s">
        <v>6</v>
      </c>
      <c r="B125">
        <v>895</v>
      </c>
      <c r="C125">
        <f t="shared" si="1"/>
        <v>43739</v>
      </c>
      <c r="D125" s="2">
        <v>13285501.699716713</v>
      </c>
      <c r="E125" s="2">
        <v>442164591.74304247</v>
      </c>
      <c r="F125">
        <v>4071600</v>
      </c>
      <c r="G125" s="2">
        <v>294241444.55000001</v>
      </c>
    </row>
    <row r="126" spans="1:7" x14ac:dyDescent="0.35">
      <c r="A126" t="s">
        <v>6</v>
      </c>
      <c r="B126">
        <v>33</v>
      </c>
      <c r="C126">
        <f t="shared" si="1"/>
        <v>43772</v>
      </c>
      <c r="D126" s="2">
        <v>492888</v>
      </c>
      <c r="E126" s="2">
        <v>442657479.74304247</v>
      </c>
      <c r="F126">
        <v>336270</v>
      </c>
      <c r="G126" s="2">
        <v>294577714.55000001</v>
      </c>
    </row>
    <row r="127" spans="1:7" x14ac:dyDescent="0.35">
      <c r="A127" t="s">
        <v>6</v>
      </c>
      <c r="B127">
        <v>12</v>
      </c>
      <c r="C127">
        <f t="shared" si="1"/>
        <v>43784</v>
      </c>
      <c r="D127" s="2">
        <v>179232</v>
      </c>
      <c r="E127" s="2">
        <v>442836711.74304247</v>
      </c>
      <c r="F127">
        <v>149664</v>
      </c>
      <c r="G127" s="2">
        <v>294727378.55000001</v>
      </c>
    </row>
    <row r="128" spans="1:7" x14ac:dyDescent="0.35">
      <c r="A128" t="s">
        <v>6</v>
      </c>
      <c r="B128">
        <v>759</v>
      </c>
      <c r="C128">
        <f t="shared" si="1"/>
        <v>44543</v>
      </c>
      <c r="D128" s="2">
        <v>9095324.6999999993</v>
      </c>
      <c r="E128" s="2">
        <v>451932036.44304246</v>
      </c>
      <c r="F128">
        <v>6099117</v>
      </c>
      <c r="G128" s="2">
        <v>300826495.55000001</v>
      </c>
    </row>
    <row r="129" spans="1:7" x14ac:dyDescent="0.35">
      <c r="A129" t="s">
        <v>6</v>
      </c>
      <c r="B129">
        <v>418</v>
      </c>
      <c r="C129">
        <f t="shared" si="1"/>
        <v>44961</v>
      </c>
      <c r="D129" s="2">
        <v>5009019.3999999994</v>
      </c>
      <c r="E129" s="2">
        <v>456941055.84304243</v>
      </c>
      <c r="F129">
        <v>9513014</v>
      </c>
      <c r="G129" s="2">
        <v>310339509.55000001</v>
      </c>
    </row>
    <row r="130" spans="1:7" x14ac:dyDescent="0.35">
      <c r="A130" t="s">
        <v>6</v>
      </c>
      <c r="B130">
        <v>540</v>
      </c>
      <c r="C130">
        <f t="shared" si="1"/>
        <v>45501</v>
      </c>
      <c r="D130" s="2">
        <v>6470982</v>
      </c>
      <c r="E130" s="2">
        <v>463412037.84304243</v>
      </c>
      <c r="F130">
        <v>3388500</v>
      </c>
      <c r="G130" s="2">
        <v>313728009.55000001</v>
      </c>
    </row>
    <row r="131" spans="1:7" x14ac:dyDescent="0.35">
      <c r="A131" t="s">
        <v>6</v>
      </c>
      <c r="B131">
        <v>538</v>
      </c>
      <c r="C131">
        <f t="shared" si="1"/>
        <v>46039</v>
      </c>
      <c r="D131" s="2">
        <v>6447015.3999999994</v>
      </c>
      <c r="E131" s="2">
        <v>469859053.24304241</v>
      </c>
      <c r="F131">
        <v>1422974</v>
      </c>
      <c r="G131" s="2">
        <v>315150983.55000001</v>
      </c>
    </row>
    <row r="132" spans="1:7" x14ac:dyDescent="0.35">
      <c r="A132" t="s">
        <v>6</v>
      </c>
      <c r="B132">
        <v>896</v>
      </c>
      <c r="C132">
        <f t="shared" si="1"/>
        <v>46935</v>
      </c>
      <c r="D132" s="2">
        <v>10737036.799999999</v>
      </c>
      <c r="E132" s="2">
        <v>480596090.04304242</v>
      </c>
      <c r="F132">
        <v>9952288</v>
      </c>
      <c r="G132" s="2">
        <v>325103271.55000001</v>
      </c>
    </row>
    <row r="133" spans="1:7" x14ac:dyDescent="0.35">
      <c r="A133" t="s">
        <v>4</v>
      </c>
      <c r="B133">
        <v>145</v>
      </c>
      <c r="C133">
        <f t="shared" si="1"/>
        <v>47080</v>
      </c>
      <c r="D133" s="2">
        <v>2235900</v>
      </c>
      <c r="E133" s="2">
        <v>482831990.04304242</v>
      </c>
      <c r="F133">
        <v>1808440</v>
      </c>
      <c r="G133" s="2">
        <v>326911711.55000001</v>
      </c>
    </row>
    <row r="134" spans="1:7" x14ac:dyDescent="0.35">
      <c r="A134" t="s">
        <v>4</v>
      </c>
      <c r="B134">
        <v>155</v>
      </c>
      <c r="C134">
        <f t="shared" ref="C134:C157" si="2">B134+C133</f>
        <v>47235</v>
      </c>
      <c r="D134" s="2">
        <v>2390100</v>
      </c>
      <c r="E134" s="2">
        <v>485222090.04304242</v>
      </c>
      <c r="F134">
        <v>1933160</v>
      </c>
      <c r="G134" s="2">
        <v>328844871.55000001</v>
      </c>
    </row>
    <row r="135" spans="1:7" x14ac:dyDescent="0.35">
      <c r="A135" t="s">
        <v>6</v>
      </c>
      <c r="B135">
        <v>515</v>
      </c>
      <c r="C135">
        <f t="shared" si="2"/>
        <v>47750</v>
      </c>
      <c r="D135" s="2">
        <v>849965.18105849577</v>
      </c>
      <c r="E135" s="2">
        <v>486072055.22410089</v>
      </c>
      <c r="F135">
        <v>996025</v>
      </c>
      <c r="G135" s="2">
        <v>329840896.55000001</v>
      </c>
    </row>
    <row r="136" spans="1:7" x14ac:dyDescent="0.35">
      <c r="A136" t="s">
        <v>5</v>
      </c>
      <c r="B136">
        <v>865</v>
      </c>
      <c r="C136">
        <f t="shared" si="2"/>
        <v>48615</v>
      </c>
      <c r="D136" s="2">
        <v>10365554.5</v>
      </c>
      <c r="E136" s="2">
        <v>496437609.72410089</v>
      </c>
      <c r="F136">
        <v>8489104.25</v>
      </c>
      <c r="G136" s="2">
        <v>338330000.80000001</v>
      </c>
    </row>
    <row r="137" spans="1:7" x14ac:dyDescent="0.35">
      <c r="A137" t="s">
        <v>5</v>
      </c>
      <c r="B137">
        <v>640</v>
      </c>
      <c r="C137">
        <f t="shared" si="2"/>
        <v>49255</v>
      </c>
      <c r="D137" s="2">
        <v>7669312</v>
      </c>
      <c r="E137" s="2">
        <v>504106921.72410089</v>
      </c>
      <c r="F137">
        <v>4629008</v>
      </c>
      <c r="G137" s="2">
        <v>342959008.80000001</v>
      </c>
    </row>
    <row r="138" spans="1:7" x14ac:dyDescent="0.35">
      <c r="A138" t="s">
        <v>5</v>
      </c>
      <c r="B138">
        <v>450</v>
      </c>
      <c r="C138">
        <f t="shared" si="2"/>
        <v>49705</v>
      </c>
      <c r="D138" s="2">
        <v>5392485</v>
      </c>
      <c r="E138" s="2">
        <v>509499406.72410089</v>
      </c>
      <c r="F138">
        <v>4823572.5</v>
      </c>
      <c r="G138" s="2">
        <v>347782581.30000001</v>
      </c>
    </row>
    <row r="139" spans="1:7" x14ac:dyDescent="0.35">
      <c r="A139" t="s">
        <v>5</v>
      </c>
      <c r="B139">
        <v>255</v>
      </c>
      <c r="C139">
        <f t="shared" si="2"/>
        <v>49960</v>
      </c>
      <c r="D139" s="2">
        <v>3055741.5</v>
      </c>
      <c r="E139" s="2">
        <v>512555148.22410089</v>
      </c>
      <c r="F139">
        <v>2867079.75</v>
      </c>
      <c r="G139" s="2">
        <v>350649661.05000001</v>
      </c>
    </row>
    <row r="140" spans="1:7" x14ac:dyDescent="0.35">
      <c r="A140" t="s">
        <v>5</v>
      </c>
      <c r="B140">
        <v>900</v>
      </c>
      <c r="C140">
        <f t="shared" si="2"/>
        <v>50860</v>
      </c>
      <c r="D140" s="2">
        <v>10784970</v>
      </c>
      <c r="E140" s="2">
        <v>523340118.22410089</v>
      </c>
      <c r="F140">
        <v>2062665</v>
      </c>
      <c r="G140" s="2">
        <v>352712326.05000001</v>
      </c>
    </row>
    <row r="141" spans="1:7" x14ac:dyDescent="0.35">
      <c r="A141" t="s">
        <v>6</v>
      </c>
      <c r="B141">
        <v>140</v>
      </c>
      <c r="C141">
        <f t="shared" si="2"/>
        <v>51000</v>
      </c>
      <c r="D141" s="2">
        <v>2091040</v>
      </c>
      <c r="E141" s="2">
        <v>525431158.22410089</v>
      </c>
      <c r="F141">
        <v>1426600</v>
      </c>
      <c r="G141" s="2">
        <v>354138926.05000001</v>
      </c>
    </row>
    <row r="142" spans="1:7" x14ac:dyDescent="0.35">
      <c r="A142" t="s">
        <v>6</v>
      </c>
      <c r="B142">
        <v>55</v>
      </c>
      <c r="C142">
        <f t="shared" si="2"/>
        <v>51055</v>
      </c>
      <c r="D142" s="2">
        <v>821480</v>
      </c>
      <c r="E142" s="2">
        <v>526252638.22410089</v>
      </c>
      <c r="F142">
        <v>560450</v>
      </c>
      <c r="G142" s="2">
        <v>354699376.05000001</v>
      </c>
    </row>
    <row r="143" spans="1:7" x14ac:dyDescent="0.35">
      <c r="A143" t="s">
        <v>6</v>
      </c>
      <c r="B143">
        <v>120</v>
      </c>
      <c r="C143">
        <f t="shared" si="2"/>
        <v>51175</v>
      </c>
      <c r="D143" s="2">
        <v>1792320</v>
      </c>
      <c r="E143" s="2">
        <v>528044958.22410089</v>
      </c>
      <c r="F143">
        <v>1222800</v>
      </c>
      <c r="G143" s="2">
        <v>355922176.05000001</v>
      </c>
    </row>
    <row r="144" spans="1:7" x14ac:dyDescent="0.35">
      <c r="A144" t="s">
        <v>6</v>
      </c>
      <c r="B144">
        <v>130</v>
      </c>
      <c r="C144">
        <f t="shared" si="2"/>
        <v>51305</v>
      </c>
      <c r="D144" s="2">
        <v>1941680</v>
      </c>
      <c r="E144" s="2">
        <v>529986638.22410089</v>
      </c>
      <c r="F144">
        <v>1324700</v>
      </c>
      <c r="G144" s="2">
        <v>357246876.05000001</v>
      </c>
    </row>
    <row r="145" spans="1:7" x14ac:dyDescent="0.35">
      <c r="A145" t="s">
        <v>6</v>
      </c>
      <c r="B145">
        <v>180</v>
      </c>
      <c r="C145">
        <f t="shared" si="2"/>
        <v>51485</v>
      </c>
      <c r="D145" s="2">
        <v>2688480</v>
      </c>
      <c r="E145" s="2">
        <v>532675118.22410089</v>
      </c>
      <c r="F145">
        <v>1834200</v>
      </c>
      <c r="G145" s="2">
        <v>359081076.05000001</v>
      </c>
    </row>
    <row r="146" spans="1:7" x14ac:dyDescent="0.35">
      <c r="A146" t="s">
        <v>6</v>
      </c>
      <c r="B146">
        <v>120</v>
      </c>
      <c r="C146">
        <f t="shared" si="2"/>
        <v>51605</v>
      </c>
      <c r="D146" s="2">
        <v>1792320</v>
      </c>
      <c r="E146" s="2">
        <v>534467438.22410089</v>
      </c>
      <c r="F146">
        <v>1222800</v>
      </c>
      <c r="G146" s="2">
        <v>360303876.05000001</v>
      </c>
    </row>
    <row r="147" spans="1:7" x14ac:dyDescent="0.35">
      <c r="A147" t="s">
        <v>6</v>
      </c>
      <c r="B147">
        <v>185</v>
      </c>
      <c r="C147">
        <f t="shared" si="2"/>
        <v>51790</v>
      </c>
      <c r="D147" s="2">
        <v>3455779.7365304925</v>
      </c>
      <c r="E147" s="2">
        <v>537923217.96063137</v>
      </c>
      <c r="F147">
        <v>2763715</v>
      </c>
      <c r="G147" s="2">
        <v>363067591.05000001</v>
      </c>
    </row>
    <row r="148" spans="1:7" x14ac:dyDescent="0.35">
      <c r="A148" t="s">
        <v>6</v>
      </c>
      <c r="B148">
        <v>60</v>
      </c>
      <c r="C148">
        <f t="shared" si="2"/>
        <v>51850</v>
      </c>
      <c r="D148" s="2">
        <v>1120793.4280639435</v>
      </c>
      <c r="E148" s="2">
        <v>539044011.38869536</v>
      </c>
      <c r="F148">
        <v>896340</v>
      </c>
      <c r="G148" s="2">
        <v>363963931.05000001</v>
      </c>
    </row>
    <row r="149" spans="1:7" x14ac:dyDescent="0.35">
      <c r="A149" t="s">
        <v>6</v>
      </c>
      <c r="B149">
        <v>185</v>
      </c>
      <c r="C149">
        <f t="shared" si="2"/>
        <v>52035</v>
      </c>
      <c r="D149" s="2">
        <v>3455779.7365304925</v>
      </c>
      <c r="E149" s="2">
        <v>542499791.1252259</v>
      </c>
      <c r="F149">
        <v>2763715</v>
      </c>
      <c r="G149" s="2">
        <v>366727646.05000001</v>
      </c>
    </row>
    <row r="150" spans="1:7" x14ac:dyDescent="0.35">
      <c r="A150" t="s">
        <v>6</v>
      </c>
      <c r="B150">
        <v>50</v>
      </c>
      <c r="C150">
        <f t="shared" si="2"/>
        <v>52085</v>
      </c>
      <c r="D150" s="2">
        <v>933994.52338661964</v>
      </c>
      <c r="E150" s="2">
        <v>543433785.6486125</v>
      </c>
      <c r="F150">
        <v>746950</v>
      </c>
      <c r="G150" s="2">
        <v>367474596.05000001</v>
      </c>
    </row>
    <row r="151" spans="1:7" x14ac:dyDescent="0.35">
      <c r="A151" t="s">
        <v>6</v>
      </c>
      <c r="B151">
        <v>145</v>
      </c>
      <c r="C151">
        <f t="shared" si="2"/>
        <v>52230</v>
      </c>
      <c r="D151" s="2">
        <v>2708584.117821197</v>
      </c>
      <c r="E151" s="2">
        <v>546142369.76643372</v>
      </c>
      <c r="F151">
        <v>2166155</v>
      </c>
      <c r="G151" s="2">
        <v>369640751.05000001</v>
      </c>
    </row>
    <row r="152" spans="1:7" x14ac:dyDescent="0.35">
      <c r="A152" t="s">
        <v>6</v>
      </c>
      <c r="B152">
        <v>185</v>
      </c>
      <c r="C152">
        <f t="shared" si="2"/>
        <v>52415</v>
      </c>
      <c r="D152" s="2">
        <v>3455779.7365304925</v>
      </c>
      <c r="E152" s="2">
        <v>549598149.50296426</v>
      </c>
      <c r="F152">
        <v>2763715</v>
      </c>
      <c r="G152" s="2">
        <v>372404466.05000001</v>
      </c>
    </row>
    <row r="153" spans="1:7" x14ac:dyDescent="0.35">
      <c r="A153" t="s">
        <v>6</v>
      </c>
      <c r="B153">
        <v>72</v>
      </c>
      <c r="C153">
        <f t="shared" si="2"/>
        <v>52487</v>
      </c>
      <c r="D153" s="2">
        <v>1344952.1136767322</v>
      </c>
      <c r="E153" s="2">
        <v>550943101.61664104</v>
      </c>
      <c r="F153">
        <v>591360</v>
      </c>
      <c r="G153" s="2">
        <v>372995826.05000001</v>
      </c>
    </row>
    <row r="154" spans="1:7" x14ac:dyDescent="0.35">
      <c r="A154" t="s">
        <v>6</v>
      </c>
      <c r="B154">
        <v>160</v>
      </c>
      <c r="C154">
        <f t="shared" si="2"/>
        <v>52647</v>
      </c>
      <c r="D154" s="2">
        <v>2988782.4748371826</v>
      </c>
      <c r="E154" s="2">
        <v>553931884.09147823</v>
      </c>
      <c r="F154">
        <v>2390240</v>
      </c>
      <c r="G154" s="2">
        <v>375386066.05000001</v>
      </c>
    </row>
    <row r="155" spans="1:7" x14ac:dyDescent="0.35">
      <c r="A155" t="s">
        <v>6</v>
      </c>
      <c r="B155">
        <v>185</v>
      </c>
      <c r="C155">
        <f t="shared" si="2"/>
        <v>52832</v>
      </c>
      <c r="D155" s="2">
        <v>3455779.7365304925</v>
      </c>
      <c r="E155" s="2">
        <v>557387663.82800877</v>
      </c>
      <c r="F155">
        <v>2763715</v>
      </c>
      <c r="G155" s="2">
        <v>378149781.05000001</v>
      </c>
    </row>
    <row r="156" spans="1:7" x14ac:dyDescent="0.35">
      <c r="A156" t="s">
        <v>6</v>
      </c>
      <c r="B156">
        <v>176</v>
      </c>
      <c r="C156">
        <f t="shared" si="2"/>
        <v>53008</v>
      </c>
      <c r="D156" s="2">
        <v>3186664.0128548471</v>
      </c>
      <c r="E156" s="2">
        <v>560574327.84086359</v>
      </c>
      <c r="F156">
        <v>2003056</v>
      </c>
      <c r="G156" s="2">
        <v>380152837.05000001</v>
      </c>
    </row>
    <row r="157" spans="1:7" x14ac:dyDescent="0.35">
      <c r="A157" t="s">
        <v>6</v>
      </c>
      <c r="B157">
        <v>185</v>
      </c>
      <c r="C157">
        <f t="shared" si="2"/>
        <v>53193</v>
      </c>
      <c r="D157" s="2">
        <v>3349618.4226031066</v>
      </c>
      <c r="E157" s="2">
        <v>563923946.26346672</v>
      </c>
      <c r="F157">
        <v>2105485</v>
      </c>
      <c r="G157" s="2">
        <v>382258322.05000001</v>
      </c>
    </row>
    <row r="166" spans="6:6" x14ac:dyDescent="0.35">
      <c r="F166">
        <v>10263.995548780487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Pote</dc:creator>
  <cp:lastModifiedBy>Purnima Nahata</cp:lastModifiedBy>
  <dcterms:created xsi:type="dcterms:W3CDTF">2025-11-18T12:11:36Z</dcterms:created>
  <dcterms:modified xsi:type="dcterms:W3CDTF">2025-11-19T05:24:33Z</dcterms:modified>
</cp:coreProperties>
</file>